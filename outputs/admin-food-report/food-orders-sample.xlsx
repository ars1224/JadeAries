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od orders" state="visible" r:id="rId4"/>
  </sheets>
  <calcPr calcId="171027" fullCalcOnLoad="1"/>
</workbook>
</file>

<file path=xl/sharedStrings.xml><?xml version="1.0" encoding="utf-8"?>
<sst xmlns="http://schemas.openxmlformats.org/spreadsheetml/2006/main" count="60" uniqueCount="42">
  <si>
    <t>Food orders</t>
  </si>
  <si>
    <t>Jhon Aries &amp; Charmie Jade | Private catering report | Generated 8 September 2026 at 9:32 pm</t>
  </si>
  <si>
    <t>Main orders</t>
  </si>
  <si>
    <t>Dessert orders</t>
  </si>
  <si>
    <t>Combined total</t>
  </si>
  <si>
    <t>Category</t>
  </si>
  <si>
    <t>Menu item</t>
  </si>
  <si>
    <t>Dietary codes</t>
  </si>
  <si>
    <t>Unit price (NZD)</t>
  </si>
  <si>
    <t>Orders</t>
  </si>
  <si>
    <t>Subtotal (NZD)</t>
  </si>
  <si>
    <t>Ordered by</t>
  </si>
  <si>
    <t>Guest dietary requirements</t>
  </si>
  <si>
    <t>Mains</t>
  </si>
  <si>
    <t xml:space="preserve">Mediterranean vegetable charlotte
Roquette, olive tapenade, cherry tomatoes, harissa oil</t>
  </si>
  <si>
    <t>G, VG</t>
  </si>
  <si>
    <t>Sofia Reyes</t>
  </si>
  <si>
    <t>Sofia Reyes: Vegetarian</t>
  </si>
  <si>
    <t xml:space="preserve">Confit pork belly – 200g
Rosemary crushed potatoes, crushed beets, garlic spinach, jus</t>
  </si>
  <si>
    <t>G</t>
  </si>
  <si>
    <t>No orders yet</t>
  </si>
  <si>
    <t>None recorded</t>
  </si>
  <si>
    <t xml:space="preserve">Lemon baked salmon – 170g
Potato gratin, spiced edamame cassoulet, miso dressing</t>
  </si>
  <si>
    <t>G, D</t>
  </si>
  <si>
    <t xml:space="preserve">John Cruz
Maria Santos</t>
  </si>
  <si>
    <t>Maria Santos: Nut allergy</t>
  </si>
  <si>
    <t xml:space="preserve">Roasted beef fillet – 180g
Rosemary crushed potatoes, charred broccolini, candied onion, jus</t>
  </si>
  <si>
    <t>D, DO</t>
  </si>
  <si>
    <t>Noel Espartero</t>
  </si>
  <si>
    <t>Noel Espartero: Dairy-free meal requested</t>
  </si>
  <si>
    <t xml:space="preserve">Chicken thigh baked in white wine &amp; parmesan cream – 180g
Potato gratin, broccolini, candied onion</t>
  </si>
  <si>
    <t>Mains total</t>
  </si>
  <si>
    <t>Desserts</t>
  </si>
  <si>
    <t xml:space="preserve">Classic tiramisu
Espresso cream, lady fingers, cocoa</t>
  </si>
  <si>
    <t>-</t>
  </si>
  <si>
    <t>Maria Santos</t>
  </si>
  <si>
    <t xml:space="preserve">White chocolate cheesecake
Berry coulis, freeze-dried raspberry</t>
  </si>
  <si>
    <t xml:space="preserve">Vanilla bean panna cotta
White chocolate cream, seasonal berries</t>
  </si>
  <si>
    <t>John Cruz</t>
  </si>
  <si>
    <t xml:space="preserve">Poached orange &amp; almond torte
Whipped coconut cream, praline</t>
  </si>
  <si>
    <t>G, D, VG</t>
  </si>
  <si>
    <t>Desserts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</si>
</sst>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7" x14ac:knownFonts="1">
    <font>
      <color theme="1"/>
      <family val="2"/>
      <scheme val="minor"/>
      <sz val="11"/>
      <name val="Calibri"/>
    </font>
    <font>
      <b/>
      <color rgb="FFC96582"/>
      <sz val="16"/>
      <name val="Arial"/>
    </font>
    <font>
      <i/>
      <color rgb="FF77716A"/>
      <sz val="9"/>
      <name val="Arial"/>
    </font>
    <font>
      <b/>
      <color rgb="FF607C58"/>
      <sz val="9"/>
      <name val="Arial"/>
    </font>
    <font>
      <b/>
      <color rgb="FFC96582"/>
      <sz val="13"/>
      <name val="Arial"/>
    </font>
    <font>
      <b/>
      <color rgb="FFFFFFFF"/>
      <sz val="9"/>
      <name val="Arial"/>
    </font>
    <font>
      <color rgb="FF4B4844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607C58"/>
      </patternFill>
    </fill>
    <fill>
      <patternFill patternType="solid">
        <fgColor rgb="FFFBF8EF"/>
      </patternFill>
    </fill>
    <fill>
      <patternFill patternType="solid">
        <fgColor rgb="FFEEF3E9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E6D7C3"/>
      </bottom>
      <diagonal/>
    </border>
    <border>
      <left/>
      <right/>
      <top/>
      <bottom style="medium">
        <color rgb="FF607C5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center" vertical="top" wrapText="1"/>
    </xf>
    <xf numFmtId="164" fontId="6" fillId="3" borderId="2" xfId="0" applyNumberFormat="1" applyFont="1" applyFill="1" applyBorder="1" applyAlignment="1">
      <alignment horizontal="center" vertical="top" wrapText="1"/>
    </xf>
    <xf numFmtId="3" fontId="6" fillId="3" borderId="2" xfId="0" applyNumberFormat="1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164" fontId="6" fillId="0" borderId="2" xfId="0" applyNumberFormat="1" applyFont="1" applyBorder="1" applyAlignment="1">
      <alignment horizontal="center" vertical="top" wrapText="1"/>
    </xf>
    <xf numFmtId="3" fontId="6" fillId="0" borderId="2" xfId="0" applyNumberFormat="1" applyFont="1" applyBorder="1" applyAlignment="1">
      <alignment horizontal="center" vertical="top" wrapText="1"/>
    </xf>
    <xf numFmtId="0" fontId="3" fillId="4" borderId="3" xfId="0" applyFont="1" applyFill="1" applyBorder="1" applyAlignment="1">
      <alignment vertical="center"/>
    </xf>
    <xf numFmtId="3" fontId="3" fillId="4" borderId="3" xfId="0" applyNumberFormat="1" applyFont="1" applyFill="1" applyBorder="1" applyAlignment="1">
      <alignment vertical="center"/>
    </xf>
    <xf numFmtId="164" fontId="3" fillId="4" borderId="3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"/>
  <sheetViews>
    <sheetView workbookViewId="0" showGridLines="0">
      <pane ySplit="7" topLeftCell="A8" activePane="bottomLeft" state="frozen"/>
      <selection pane="bottomLeft"/>
    </sheetView>
  </sheetViews>
  <sheetFormatPr defaultRowHeight="20" outlineLevelRow="0" outlineLevelCol="0" x14ac:dyDescent="55" customHeight="1"/>
  <cols>
    <col min="1" max="1" width="13" customWidth="1"/>
    <col min="2" max="2" width="42" customWidth="1"/>
    <col min="3" max="3" width="16" customWidth="1"/>
    <col min="4" max="4" width="17" customWidth="1"/>
    <col min="5" max="5" width="12" customWidth="1"/>
    <col min="6" max="6" width="18" customWidth="1"/>
    <col min="7" max="7" width="34" customWidth="1"/>
    <col min="8" max="8" width="3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5" x14ac:dyDescent="0.25">
      <c r="A4" s="3" t="s">
        <v>2</v>
      </c>
      <c r="C4" s="3" t="s">
        <v>3</v>
      </c>
      <c r="E4" s="3" t="s">
        <v>4</v>
      </c>
    </row>
    <row r="5" spans="1:5" x14ac:dyDescent="0.25">
      <c r="A5" s="4">
        <v>4</v>
      </c>
      <c r="C5" s="4">
        <v>4</v>
      </c>
      <c r="E5" s="5">
        <f>SUM(F13,F18)</f>
        <v>315</v>
      </c>
    </row>
    <row r="7" ht="30" customHeight="1" spans="1:8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</row>
    <row r="8" ht="44" customHeight="1" spans="1:8" x14ac:dyDescent="0.25">
      <c r="A8" s="7" t="s">
        <v>13</v>
      </c>
      <c r="B8" s="7" t="s">
        <v>14</v>
      </c>
      <c r="C8" s="8" t="s">
        <v>15</v>
      </c>
      <c r="D8" s="9">
        <v>45</v>
      </c>
      <c r="E8" s="10">
        <v>1</v>
      </c>
      <c r="F8" s="9">
        <f>D8*E8</f>
        <v>45</v>
      </c>
      <c r="G8" s="7" t="s">
        <v>16</v>
      </c>
      <c r="H8" s="7" t="s">
        <v>17</v>
      </c>
    </row>
    <row r="9" ht="44" customHeight="1" spans="1:8" x14ac:dyDescent="0.25">
      <c r="A9" s="11" t="s">
        <v>13</v>
      </c>
      <c r="B9" s="11" t="s">
        <v>18</v>
      </c>
      <c r="C9" s="12" t="s">
        <v>19</v>
      </c>
      <c r="D9" s="13">
        <v>52</v>
      </c>
      <c r="E9" s="14">
        <v>0</v>
      </c>
      <c r="F9" s="13">
        <f>D9*E9</f>
        <v>0</v>
      </c>
      <c r="G9" s="11" t="s">
        <v>20</v>
      </c>
      <c r="H9" s="11" t="s">
        <v>21</v>
      </c>
    </row>
    <row r="10" ht="46" customHeight="1" spans="1:8" x14ac:dyDescent="0.25">
      <c r="A10" s="7" t="s">
        <v>13</v>
      </c>
      <c r="B10" s="7" t="s">
        <v>22</v>
      </c>
      <c r="C10" s="8" t="s">
        <v>23</v>
      </c>
      <c r="D10" s="9">
        <v>59</v>
      </c>
      <c r="E10" s="10">
        <v>2</v>
      </c>
      <c r="F10" s="9">
        <f>D10*E10</f>
        <v>118</v>
      </c>
      <c r="G10" s="7" t="s">
        <v>24</v>
      </c>
      <c r="H10" s="7" t="s">
        <v>25</v>
      </c>
    </row>
    <row r="11" ht="44" customHeight="1" spans="1:8" x14ac:dyDescent="0.25">
      <c r="A11" s="11" t="s">
        <v>13</v>
      </c>
      <c r="B11" s="11" t="s">
        <v>26</v>
      </c>
      <c r="C11" s="12" t="s">
        <v>27</v>
      </c>
      <c r="D11" s="13">
        <v>62</v>
      </c>
      <c r="E11" s="14">
        <v>1</v>
      </c>
      <c r="F11" s="13">
        <f>D11*E11</f>
        <v>62</v>
      </c>
      <c r="G11" s="11" t="s">
        <v>28</v>
      </c>
      <c r="H11" s="11" t="s">
        <v>29</v>
      </c>
    </row>
    <row r="12" ht="44" customHeight="1" spans="1:8" x14ac:dyDescent="0.25">
      <c r="A12" s="7" t="s">
        <v>13</v>
      </c>
      <c r="B12" s="7" t="s">
        <v>30</v>
      </c>
      <c r="C12" s="8" t="s">
        <v>19</v>
      </c>
      <c r="D12" s="9">
        <v>50</v>
      </c>
      <c r="E12" s="10">
        <v>0</v>
      </c>
      <c r="F12" s="9">
        <f>D12*E12</f>
        <v>0</v>
      </c>
      <c r="G12" s="7" t="s">
        <v>20</v>
      </c>
      <c r="H12" s="7" t="s">
        <v>21</v>
      </c>
    </row>
    <row r="13" ht="26" customHeight="1" spans="2:6" x14ac:dyDescent="0.25">
      <c r="B13" s="15" t="s">
        <v>31</v>
      </c>
      <c r="E13" s="16">
        <f>SUM(E8:E12)</f>
        <v>4</v>
      </c>
      <c r="F13" s="17">
        <f>SUM(F8:F12)</f>
        <v>225</v>
      </c>
    </row>
    <row r="14" ht="44" customHeight="1" spans="1:8" x14ac:dyDescent="0.25">
      <c r="A14" s="7" t="s">
        <v>32</v>
      </c>
      <c r="B14" s="7" t="s">
        <v>33</v>
      </c>
      <c r="C14" s="8" t="s">
        <v>34</v>
      </c>
      <c r="D14" s="9">
        <v>22</v>
      </c>
      <c r="E14" s="10">
        <v>1</v>
      </c>
      <c r="F14" s="9">
        <f>D14*E14</f>
        <v>22</v>
      </c>
      <c r="G14" s="7" t="s">
        <v>35</v>
      </c>
      <c r="H14" s="7" t="s">
        <v>25</v>
      </c>
    </row>
    <row r="15" ht="44" customHeight="1" spans="1:8" x14ac:dyDescent="0.25">
      <c r="A15" s="11" t="s">
        <v>32</v>
      </c>
      <c r="B15" s="11" t="s">
        <v>36</v>
      </c>
      <c r="C15" s="12" t="s">
        <v>34</v>
      </c>
      <c r="D15" s="13">
        <v>22</v>
      </c>
      <c r="E15" s="14">
        <v>1</v>
      </c>
      <c r="F15" s="13">
        <f>D15*E15</f>
        <v>22</v>
      </c>
      <c r="G15" s="11" t="s">
        <v>16</v>
      </c>
      <c r="H15" s="11" t="s">
        <v>17</v>
      </c>
    </row>
    <row r="16" ht="44" customHeight="1" spans="1:8" x14ac:dyDescent="0.25">
      <c r="A16" s="7" t="s">
        <v>32</v>
      </c>
      <c r="B16" s="7" t="s">
        <v>37</v>
      </c>
      <c r="C16" s="8" t="s">
        <v>19</v>
      </c>
      <c r="D16" s="9">
        <v>22</v>
      </c>
      <c r="E16" s="10">
        <v>1</v>
      </c>
      <c r="F16" s="9">
        <f>D16*E16</f>
        <v>22</v>
      </c>
      <c r="G16" s="7" t="s">
        <v>38</v>
      </c>
      <c r="H16" s="7" t="s">
        <v>21</v>
      </c>
    </row>
    <row r="17" ht="44" customHeight="1" spans="1:8" x14ac:dyDescent="0.25">
      <c r="A17" s="11" t="s">
        <v>32</v>
      </c>
      <c r="B17" s="11" t="s">
        <v>39</v>
      </c>
      <c r="C17" s="12" t="s">
        <v>40</v>
      </c>
      <c r="D17" s="13">
        <v>24</v>
      </c>
      <c r="E17" s="14">
        <v>1</v>
      </c>
      <c r="F17" s="13">
        <f>D17*E17</f>
        <v>24</v>
      </c>
      <c r="G17" s="11" t="s">
        <v>28</v>
      </c>
      <c r="H17" s="11" t="s">
        <v>29</v>
      </c>
    </row>
    <row r="18" ht="26" customHeight="1" spans="2:6" x14ac:dyDescent="0.25">
      <c r="B18" s="15" t="s">
        <v>41</v>
      </c>
      <c r="E18" s="16">
        <f>SUM(E14:E17)</f>
        <v>4</v>
      </c>
      <c r="F18" s="17">
        <f>SUM(F14:F17)</f>
        <v>90</v>
      </c>
    </row>
  </sheetData>
  <autoFilter ref="A7:H18"/>
  <pageMargins left="0.3" right="0.3" top="0.5" bottom="0.5" header="0.2" footer="0.2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Aries &amp; Charmie Jade</dc:creator>
  <dc:title/>
  <dc:subject/>
  <dc:description/>
  <cp:keywords/>
  <cp:category/>
  <cp:lastModifiedBy>Unknown</cp:lastModifiedBy>
  <dcterms:created xsi:type="dcterms:W3CDTF">2026-09-08T09:32:18Z</dcterms:created>
  <dcterms:modified xsi:type="dcterms:W3CDTF">2026-09-08T09:32:18Z</dcterms:modified>
</cp:coreProperties>
</file>